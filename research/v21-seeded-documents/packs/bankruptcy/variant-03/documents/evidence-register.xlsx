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Register" sheetId="1" state="visible" r:id="rId1"/>
    <sheet xmlns:r="http://schemas.openxmlformats.org/officeDocument/2006/relationships" name="Computation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'Evidence Register'!$A$1:$H$4</definedName>
    <definedName name="_xlnm.Print_Area" localSheetId="0">'Evidence Register'!$A$1:$H$4</definedName>
    <definedName name="_xlnm._FilterDatabase" localSheetId="1" hidden="1">'Computation'!$A$1:$G$4</definedName>
    <definedName name="_xlnm.Print_Area" localSheetId="1">'Computation'!$A$1:$G$4</definedName>
    <definedName name="_xlnm._FilterDatabase" localSheetId="2" hidden="1">'Instructions'!$A$1:$B$12</definedName>
    <definedName name="_xlnm.Print_Area" localSheetId="2">'Instructions'!$A$1:$B$12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 indent="1"/>
    </xf>
    <xf numFmtId="164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2" customWidth="1" min="4" max="4"/>
    <col width="18" customWidth="1" min="5" max="5"/>
    <col width="21" customWidth="1" min="6" max="6"/>
    <col width="24" customWidth="1" min="7" max="7"/>
    <col width="17" customWidth="1" min="8" max="8"/>
  </cols>
  <sheetData>
    <row r="1" ht="30" customHeight="1">
      <c r="A1" s="1" t="inlineStr">
        <is>
          <t>Evidence ID</t>
        </is>
      </c>
      <c r="B1" s="1" t="inlineStr">
        <is>
          <t>Source</t>
        </is>
      </c>
      <c r="C1" s="1" t="inlineStr">
        <is>
          <t>Date</t>
        </is>
      </c>
      <c r="D1" s="1" t="inlineStr">
        <is>
          <t>Fact</t>
        </is>
      </c>
      <c r="E1" s="1" t="inlineStr">
        <is>
          <t>Reliability</t>
        </is>
      </c>
      <c r="F1" s="1" t="inlineStr">
        <is>
          <t>Privilege</t>
        </is>
      </c>
      <c r="G1" s="1" t="inlineStr">
        <is>
          <t>SHA-256</t>
        </is>
      </c>
      <c r="H1" s="1" t="inlineStr">
        <is>
          <t>Pack ID</t>
        </is>
      </c>
    </row>
    <row r="2" ht="54" customHeight="1">
      <c r="A2" s="2" t="inlineStr">
        <is>
          <t>E-01</t>
        </is>
      </c>
      <c r="B2" s="2" t="inlineStr">
        <is>
          <t>matter-brief.docx</t>
        </is>
      </c>
      <c r="C2" s="2" t="inlineStr">
        <is>
          <t>2026-08-22</t>
        </is>
      </c>
      <c r="D2" s="2" t="inlineStr">
        <is>
          <t>V21-EVIDENCE-BK-03-040</t>
        </is>
      </c>
      <c r="E2" s="2" t="inlineStr">
        <is>
          <t>synthetic-controlled</t>
        </is>
      </c>
      <c r="F2" s="2" t="inlineStr">
        <is>
          <t>benchmark-confidential</t>
        </is>
      </c>
      <c r="G2" s="2" t="inlineStr">
        <is>
          <t>04cee383c9c240b875414e22583e3bfd2c0cb4e18b1b3347949e193ebc6768c0</t>
        </is>
      </c>
      <c r="H2" s="2" t="inlineStr">
        <is>
          <t>pack-bankruptcy-03</t>
        </is>
      </c>
    </row>
    <row r="3" ht="54" customHeight="1">
      <c r="A3" s="2" t="inlineStr">
        <is>
          <t>E-02</t>
        </is>
      </c>
      <c r="B3" s="2" t="inlineStr">
        <is>
          <t>evidence-register.xlsx</t>
        </is>
      </c>
      <c r="C3" s="2" t="inlineStr">
        <is>
          <t>2026-08-22</t>
        </is>
      </c>
      <c r="D3" s="2" t="inlineStr">
        <is>
          <t>quantity=40; rate=64.20</t>
        </is>
      </c>
      <c r="E3" s="2" t="inlineStr">
        <is>
          <t>synthetic-controlled</t>
        </is>
      </c>
      <c r="F3" s="2" t="inlineStr">
        <is>
          <t>benchmark-confidential</t>
        </is>
      </c>
      <c r="G3" s="2" t="inlineStr">
        <is>
          <t>edda8252c2e3a20b9880403f257efe8b5971732d550c80fcac9ee83163c154ce</t>
        </is>
      </c>
      <c r="H3" s="2" t="inlineStr">
        <is>
          <t>pack-bankruptcy-03</t>
        </is>
      </c>
    </row>
    <row r="4" ht="54" customHeight="1">
      <c r="A4" s="2" t="inlineStr">
        <is>
          <t>E-03</t>
        </is>
      </c>
      <c r="B4" s="2" t="inlineStr">
        <is>
          <t>source-extract.pdf</t>
        </is>
      </c>
      <c r="C4" s="2" t="inlineStr">
        <is>
          <t>2026-08-22</t>
        </is>
      </c>
      <c r="D4" s="2" t="inlineStr">
        <is>
          <t>response due 2026-10-06</t>
        </is>
      </c>
      <c r="E4" s="2" t="inlineStr">
        <is>
          <t>synthetic-controlled</t>
        </is>
      </c>
      <c r="F4" s="2" t="inlineStr">
        <is>
          <t>benchmark-confidential</t>
        </is>
      </c>
      <c r="G4" s="2" t="inlineStr">
        <is>
          <t>4e946764e0925a8b867615192f2f629d0701b20367c0dfefeeb155e67127e2f1</t>
        </is>
      </c>
      <c r="H4" s="2" t="inlineStr">
        <is>
          <t>pack-bankruptcy-03</t>
        </is>
      </c>
    </row>
  </sheetData>
  <autoFilter ref="A1:H4"/>
  <printOptions horizontalCentered="1"/>
  <pageMargins left="0.25" right="0.25" top="0.35" bottom="0.35" header="0.5" footer="0.5"/>
  <pageSetup orientation="landscape" paperSize="1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2" customWidth="1" min="3" max="3"/>
    <col width="14" customWidth="1" min="4" max="4"/>
    <col width="18" customWidth="1" min="5" max="5"/>
    <col width="18" customWidth="1" min="6" max="6"/>
    <col width="24" customWidth="1" min="7" max="7"/>
  </cols>
  <sheetData>
    <row r="1" ht="30" customHeight="1">
      <c r="A1" s="1" t="inlineStr">
        <is>
          <t>Line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 Rate</t>
        </is>
      </c>
      <c r="E1" s="1" t="inlineStr">
        <is>
          <t>Calculated Amount</t>
        </is>
      </c>
      <c r="F1" s="1" t="inlineStr">
        <is>
          <t>Expected Amount</t>
        </is>
      </c>
      <c r="G1" s="1" t="inlineStr">
        <is>
          <t>Control</t>
        </is>
      </c>
    </row>
    <row r="2" ht="34" customHeight="1">
      <c r="A2" s="3" t="n">
        <v>1</v>
      </c>
      <c r="B2" s="4" t="inlineStr">
        <is>
          <t>control discrepancy in debtors</t>
        </is>
      </c>
      <c r="C2" s="3" t="n">
        <v>40</v>
      </c>
      <c r="D2" s="5" t="n">
        <v>64.2</v>
      </c>
      <c r="E2" s="5">
        <f>C2*D2</f>
        <v/>
      </c>
      <c r="F2" s="5" t="n">
        <v>2568</v>
      </c>
      <c r="G2" s="4" t="inlineStr">
        <is>
          <t>must equal expected</t>
        </is>
      </c>
    </row>
    <row r="3" ht="34" customHeight="1">
      <c r="A3" s="3" t="n">
        <v>2</v>
      </c>
      <c r="B3" s="4" t="inlineStr">
        <is>
          <t>preservation reserve</t>
        </is>
      </c>
      <c r="C3" s="3" t="n">
        <v>1</v>
      </c>
      <c r="D3" s="5" t="n">
        <v>2025</v>
      </c>
      <c r="E3" s="5">
        <f>C3*D3</f>
        <v/>
      </c>
      <c r="F3" s="5" t="n">
        <v>2025</v>
      </c>
      <c r="G3" s="4" t="inlineStr">
        <is>
          <t>separate from exposure</t>
        </is>
      </c>
    </row>
    <row r="4" ht="34" customHeight="1">
      <c r="A4" s="3" t="n">
        <v>3</v>
      </c>
      <c r="B4" s="4" t="inlineStr">
        <is>
          <t>combined planning amount</t>
        </is>
      </c>
      <c r="C4" s="3" t="inlineStr"/>
      <c r="D4" s="2" t="inlineStr"/>
      <c r="E4" s="5">
        <f>SUM(E2:E3)</f>
        <v/>
      </c>
      <c r="F4" s="5" t="n">
        <v>4593</v>
      </c>
      <c r="G4" s="4" t="inlineStr">
        <is>
          <t>planning only</t>
        </is>
      </c>
    </row>
  </sheetData>
  <autoFilter ref="A1:G4"/>
  <printOptions horizontalCentered="1"/>
  <pageMargins left="0.25" right="0.25" top="0.35" bottom="0.35" header="0.5" footer="0.5"/>
  <pageSetup orientation="landscape" paperSize="1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8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 ht="34" customHeight="1">
      <c r="A2" s="2" t="inlineStr">
        <is>
          <t>Pack ID</t>
        </is>
      </c>
      <c r="B2" s="2" t="inlineStr">
        <is>
          <t>pack-bankruptcy-03</t>
        </is>
      </c>
    </row>
    <row r="3" ht="34" customHeight="1">
      <c r="A3" s="2" t="inlineStr">
        <is>
          <t>Domain</t>
        </is>
      </c>
      <c r="B3" s="2" t="inlineStr">
        <is>
          <t>Bankruptcy</t>
        </is>
      </c>
    </row>
    <row r="4" ht="34" customHeight="1">
      <c r="A4" s="2" t="inlineStr">
        <is>
          <t>Jurisdiction</t>
        </is>
      </c>
      <c r="B4" s="2" t="inlineStr">
        <is>
          <t>DC</t>
        </is>
      </c>
    </row>
    <row r="5" ht="34" customHeight="1">
      <c r="A5" s="2" t="inlineStr">
        <is>
          <t>Matter</t>
        </is>
      </c>
      <c r="B5" s="2" t="inlineStr">
        <is>
          <t>MAT-BK-1093</t>
        </is>
      </c>
    </row>
    <row r="6" ht="34" customHeight="1">
      <c r="A6" s="2" t="inlineStr">
        <is>
          <t>Anchor</t>
        </is>
      </c>
      <c r="B6" s="2" t="inlineStr">
        <is>
          <t>V21-EVIDENCE-BK-03-040</t>
        </is>
      </c>
    </row>
    <row r="7" ht="34" customHeight="1">
      <c r="A7" s="2" t="inlineStr">
        <is>
          <t>Required status</t>
        </is>
      </c>
      <c r="B7" s="2" t="inlineStr">
        <is>
          <t>remediated-bk-03</t>
        </is>
      </c>
    </row>
    <row r="8" ht="34" customHeight="1">
      <c r="A8" s="2" t="inlineStr">
        <is>
          <t>Research authority</t>
        </is>
      </c>
      <c r="B8" s="2" t="inlineStr">
        <is>
          <t>synthetic benchmark source; no external authority asserted</t>
        </is>
      </c>
    </row>
    <row r="9" ht="34" customHeight="1">
      <c r="A9" s="2" t="inlineStr">
        <is>
          <t>Authority URL</t>
        </is>
      </c>
      <c r="B9" s="2" t="inlineStr">
        <is>
          <t>not_applicable</t>
        </is>
      </c>
    </row>
    <row r="10" ht="34" customHeight="1">
      <c r="A10" s="2" t="inlineStr">
        <is>
          <t>Research status</t>
        </is>
      </c>
      <c r="B10" s="2" t="inlineStr">
        <is>
          <t>not_applicable</t>
        </is>
      </c>
    </row>
    <row r="11" ht="34" customHeight="1">
      <c r="A11" s="2" t="inlineStr">
        <is>
          <t>Forbidden phrase</t>
        </is>
      </c>
      <c r="B11" s="2" t="inlineStr">
        <is>
          <t>AUTO-CLOSE WITHOUT REVIEW</t>
        </is>
      </c>
    </row>
    <row r="12" ht="34" customHeight="1">
      <c r="A12" s="2" t="inlineStr">
        <is>
          <t>Boundary</t>
        </is>
      </c>
      <c r="B12" s="2" t="inlineStr">
        <is>
          <t>Synthetic simulation only; attorney validation required before external use.</t>
        </is>
      </c>
    </row>
  </sheetData>
  <autoFilter ref="A1:B12"/>
  <printOptions horizontalCentered="1"/>
  <pageMargins left="0.25" right="0.25" top="0.35" bottom="0.35" header="0.5" footer="0.5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Legal Agent Simulation</dc:creator>
  <dcterms:created xmlns:dcterms="http://purl.org/dc/terms/" xmlns:xsi="http://www.w3.org/2001/XMLSchema-instance" xsi:type="dcterms:W3CDTF">2026-08-22T12:00:00Z</dcterms:created>
  <dcterms:modified xmlns:dcterms="http://purl.org/dc/terms/" xmlns:xsi="http://www.w3.org/2001/XMLSchema-instance" xsi:type="dcterms:W3CDTF">2026-08-22T12:00:00Z</dcterms:modified>
</cp:coreProperties>
</file>