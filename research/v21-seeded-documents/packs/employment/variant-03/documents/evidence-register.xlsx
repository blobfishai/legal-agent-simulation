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Register" sheetId="1" state="visible" r:id="rId1"/>
    <sheet xmlns:r="http://schemas.openxmlformats.org/officeDocument/2006/relationships" name="Computation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'Evidence Register'!$A$1:$H$4</definedName>
    <definedName name="_xlnm.Print_Area" localSheetId="0">'Evidence Register'!$A$1:$H$4</definedName>
    <definedName name="_xlnm._FilterDatabase" localSheetId="1" hidden="1">'Computation'!$A$1:$G$4</definedName>
    <definedName name="_xlnm.Print_Area" localSheetId="1">'Computation'!$A$1:$G$4</definedName>
    <definedName name="_xlnm._FilterDatabase" localSheetId="2" hidden="1">'Instructions'!$A$1:$B$9</definedName>
    <definedName name="_xlnm.Print_Area" localSheetId="2">'Instructions'!$A$1:$B$9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>
        <color rgb="00B7C3D0"/>
      </left>
      <right style="thin">
        <color rgb="00B7C3D0"/>
      </right>
      <top style="thin">
        <color rgb="00B7C3D0"/>
      </top>
      <bottom style="thin">
        <color rgb="00B7C3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 indent="1"/>
    </xf>
    <xf numFmtId="164" fontId="1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18" customWidth="1" min="5" max="5"/>
    <col width="21" customWidth="1" min="6" max="6"/>
    <col width="24" customWidth="1" min="7" max="7"/>
    <col width="17" customWidth="1" min="8" max="8"/>
  </cols>
  <sheetData>
    <row r="1" ht="30" customHeight="1">
      <c r="A1" s="1" t="inlineStr">
        <is>
          <t>Evidence ID</t>
        </is>
      </c>
      <c r="B1" s="1" t="inlineStr">
        <is>
          <t>Source</t>
        </is>
      </c>
      <c r="C1" s="1" t="inlineStr">
        <is>
          <t>Date</t>
        </is>
      </c>
      <c r="D1" s="1" t="inlineStr">
        <is>
          <t>Fact</t>
        </is>
      </c>
      <c r="E1" s="1" t="inlineStr">
        <is>
          <t>Reliability</t>
        </is>
      </c>
      <c r="F1" s="1" t="inlineStr">
        <is>
          <t>Privilege</t>
        </is>
      </c>
      <c r="G1" s="1" t="inlineStr">
        <is>
          <t>SHA-256</t>
        </is>
      </c>
      <c r="H1" s="1" t="inlineStr">
        <is>
          <t>Pack ID</t>
        </is>
      </c>
    </row>
    <row r="2" ht="54" customHeight="1">
      <c r="A2" s="2" t="inlineStr">
        <is>
          <t>E-01</t>
        </is>
      </c>
      <c r="B2" s="2" t="inlineStr">
        <is>
          <t>matter-brief.docx</t>
        </is>
      </c>
      <c r="C2" s="2" t="inlineStr">
        <is>
          <t>2026-08-10</t>
        </is>
      </c>
      <c r="D2" s="2" t="inlineStr">
        <is>
          <t>V21-EVIDENCE-EL-03-022</t>
        </is>
      </c>
      <c r="E2" s="2" t="inlineStr">
        <is>
          <t>synthetic-controlled</t>
        </is>
      </c>
      <c r="F2" s="2" t="inlineStr">
        <is>
          <t>benchmark-confidential</t>
        </is>
      </c>
      <c r="G2" s="2" t="inlineStr">
        <is>
          <t>fb45e0ef07eee97f74bf4d1c6a572846d8bd125a62fa54c2bac94b88ca4eec77</t>
        </is>
      </c>
      <c r="H2" s="2" t="inlineStr">
        <is>
          <t>pack-employment-03</t>
        </is>
      </c>
    </row>
    <row r="3" ht="54" customHeight="1">
      <c r="A3" s="2" t="inlineStr">
        <is>
          <t>E-02</t>
        </is>
      </c>
      <c r="B3" s="2" t="inlineStr">
        <is>
          <t>evidence-register.xlsx</t>
        </is>
      </c>
      <c r="C3" s="2" t="inlineStr">
        <is>
          <t>2026-08-10</t>
        </is>
      </c>
      <c r="D3" s="2" t="inlineStr">
        <is>
          <t>quantity=22; rate=38.10</t>
        </is>
      </c>
      <c r="E3" s="2" t="inlineStr">
        <is>
          <t>synthetic-controlled</t>
        </is>
      </c>
      <c r="F3" s="2" t="inlineStr">
        <is>
          <t>benchmark-confidential</t>
        </is>
      </c>
      <c r="G3" s="2" t="inlineStr">
        <is>
          <t>202220850be234218dc180ed9e893e9f97214907c9aa15f4b94b751f9fea482b</t>
        </is>
      </c>
      <c r="H3" s="2" t="inlineStr">
        <is>
          <t>pack-employment-03</t>
        </is>
      </c>
    </row>
    <row r="4" ht="54" customHeight="1">
      <c r="A4" s="2" t="inlineStr">
        <is>
          <t>E-03</t>
        </is>
      </c>
      <c r="B4" s="2" t="inlineStr">
        <is>
          <t>source-extract.pdf</t>
        </is>
      </c>
      <c r="C4" s="2" t="inlineStr">
        <is>
          <t>2026-08-10</t>
        </is>
      </c>
      <c r="D4" s="2" t="inlineStr">
        <is>
          <t>response due 2026-09-24</t>
        </is>
      </c>
      <c r="E4" s="2" t="inlineStr">
        <is>
          <t>synthetic-controlled</t>
        </is>
      </c>
      <c r="F4" s="2" t="inlineStr">
        <is>
          <t>benchmark-confidential</t>
        </is>
      </c>
      <c r="G4" s="2" t="inlineStr">
        <is>
          <t>ab94c38ac6d4a85808da59373e141a10c33326b01a701361c6c3a484e5bcf053</t>
        </is>
      </c>
      <c r="H4" s="2" t="inlineStr">
        <is>
          <t>pack-employment-03</t>
        </is>
      </c>
    </row>
  </sheetData>
  <autoFilter ref="A1:H4"/>
  <printOptions horizontalCentered="1"/>
  <pageMargins left="0.25" right="0.25" top="0.35" bottom="0.35" header="0.5" footer="0.5"/>
  <pageSetup orientation="landscape" paperSize="1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12" customWidth="1" min="3" max="3"/>
    <col width="14" customWidth="1" min="4" max="4"/>
    <col width="18" customWidth="1" min="5" max="5"/>
    <col width="18" customWidth="1" min="6" max="6"/>
    <col width="24" customWidth="1" min="7" max="7"/>
  </cols>
  <sheetData>
    <row r="1" ht="30" customHeight="1">
      <c r="A1" s="1" t="inlineStr">
        <is>
          <t>Line</t>
        </is>
      </c>
      <c r="B1" s="1" t="inlineStr">
        <is>
          <t>Description</t>
        </is>
      </c>
      <c r="C1" s="1" t="inlineStr">
        <is>
          <t>Quantity</t>
        </is>
      </c>
      <c r="D1" s="1" t="inlineStr">
        <is>
          <t>Unit Rate</t>
        </is>
      </c>
      <c r="E1" s="1" t="inlineStr">
        <is>
          <t>Calculated Amount</t>
        </is>
      </c>
      <c r="F1" s="1" t="inlineStr">
        <is>
          <t>Expected Amount</t>
        </is>
      </c>
      <c r="G1" s="1" t="inlineStr">
        <is>
          <t>Control</t>
        </is>
      </c>
    </row>
    <row r="2" ht="34" customHeight="1">
      <c r="A2" s="3" t="n">
        <v>1</v>
      </c>
      <c r="B2" s="4" t="inlineStr">
        <is>
          <t>control discrepancy in interviews</t>
        </is>
      </c>
      <c r="C2" s="3" t="n">
        <v>22</v>
      </c>
      <c r="D2" s="5" t="n">
        <v>38.1</v>
      </c>
      <c r="E2" s="5">
        <f>C2*D2</f>
        <v/>
      </c>
      <c r="F2" s="5" t="n">
        <v>838.2</v>
      </c>
      <c r="G2" s="4" t="inlineStr">
        <is>
          <t>must equal expected</t>
        </is>
      </c>
    </row>
    <row r="3" ht="34" customHeight="1">
      <c r="A3" s="3" t="n">
        <v>2</v>
      </c>
      <c r="B3" s="4" t="inlineStr">
        <is>
          <t>preservation reserve</t>
        </is>
      </c>
      <c r="C3" s="3" t="n">
        <v>1</v>
      </c>
      <c r="D3" s="5" t="n">
        <v>1275</v>
      </c>
      <c r="E3" s="5">
        <f>C3*D3</f>
        <v/>
      </c>
      <c r="F3" s="5" t="n">
        <v>1275</v>
      </c>
      <c r="G3" s="4" t="inlineStr">
        <is>
          <t>separate from exposure</t>
        </is>
      </c>
    </row>
    <row r="4" ht="34" customHeight="1">
      <c r="A4" s="3" t="n">
        <v>3</v>
      </c>
      <c r="B4" s="4" t="inlineStr">
        <is>
          <t>combined planning amount</t>
        </is>
      </c>
      <c r="C4" s="3" t="inlineStr"/>
      <c r="D4" s="2" t="inlineStr"/>
      <c r="E4" s="5">
        <f>SUM(E2:E3)</f>
        <v/>
      </c>
      <c r="F4" s="5" t="n">
        <v>2113.2</v>
      </c>
      <c r="G4" s="4" t="inlineStr">
        <is>
          <t>planning only</t>
        </is>
      </c>
    </row>
  </sheetData>
  <autoFilter ref="A1:G4"/>
  <printOptions horizontalCentered="1"/>
  <pageMargins left="0.25" right="0.25" top="0.35" bottom="0.35" header="0.5" footer="0.5"/>
  <pageSetup orientation="landscape" paperSize="1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8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 ht="34" customHeight="1">
      <c r="A2" s="2" t="inlineStr">
        <is>
          <t>Pack ID</t>
        </is>
      </c>
      <c r="B2" s="2" t="inlineStr">
        <is>
          <t>pack-employment-03</t>
        </is>
      </c>
    </row>
    <row r="3" ht="34" customHeight="1">
      <c r="A3" s="2" t="inlineStr">
        <is>
          <t>Domain</t>
        </is>
      </c>
      <c r="B3" s="2" t="inlineStr">
        <is>
          <t>Employment and Labor</t>
        </is>
      </c>
    </row>
    <row r="4" ht="34" customHeight="1">
      <c r="A4" s="2" t="inlineStr">
        <is>
          <t>Jurisdiction</t>
        </is>
      </c>
      <c r="B4" s="2" t="inlineStr">
        <is>
          <t>DC</t>
        </is>
      </c>
    </row>
    <row r="5" ht="34" customHeight="1">
      <c r="A5" s="2" t="inlineStr">
        <is>
          <t>Matter</t>
        </is>
      </c>
      <c r="B5" s="2" t="inlineStr">
        <is>
          <t>MAT-EL-1033</t>
        </is>
      </c>
    </row>
    <row r="6" ht="34" customHeight="1">
      <c r="A6" s="2" t="inlineStr">
        <is>
          <t>Anchor</t>
        </is>
      </c>
      <c r="B6" s="2" t="inlineStr">
        <is>
          <t>V21-EVIDENCE-EL-03-022</t>
        </is>
      </c>
    </row>
    <row r="7" ht="34" customHeight="1">
      <c r="A7" s="2" t="inlineStr">
        <is>
          <t>Required status</t>
        </is>
      </c>
      <c r="B7" s="2" t="inlineStr">
        <is>
          <t>remediated-el-03</t>
        </is>
      </c>
    </row>
    <row r="8" ht="34" customHeight="1">
      <c r="A8" s="2" t="inlineStr">
        <is>
          <t>Forbidden phrase</t>
        </is>
      </c>
      <c r="B8" s="2" t="inlineStr">
        <is>
          <t>AUTO-CLOSE WITHOUT REVIEW</t>
        </is>
      </c>
    </row>
    <row r="9" ht="34" customHeight="1">
      <c r="A9" s="2" t="inlineStr">
        <is>
          <t>Boundary</t>
        </is>
      </c>
      <c r="B9" s="2" t="inlineStr">
        <is>
          <t>Synthetic simulation only; attorney validation required before external use.</t>
        </is>
      </c>
    </row>
  </sheetData>
  <autoFilter ref="A1:B9"/>
  <printOptions horizontalCentered="1"/>
  <pageMargins left="0.25" right="0.25" top="0.35" bottom="0.35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 Agent Simulation</dc:creator>
  <dcterms:created xmlns:dcterms="http://purl.org/dc/terms/" xmlns:xsi="http://www.w3.org/2001/XMLSchema-instance" xsi:type="dcterms:W3CDTF">2026-08-22T12:00:00Z</dcterms:created>
  <dcterms:modified xmlns:dcterms="http://purl.org/dc/terms/" xmlns:xsi="http://www.w3.org/2001/XMLSchema-instance" xsi:type="dcterms:W3CDTF">2026-08-22T12:00:00Z</dcterms:modified>
</cp:coreProperties>
</file>