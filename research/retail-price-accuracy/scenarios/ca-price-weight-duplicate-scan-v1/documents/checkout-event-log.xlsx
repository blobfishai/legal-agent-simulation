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Control Test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'Events'!$A$1:$I$8</definedName>
    <definedName name="_xlnm._FilterDatabase" localSheetId="1" hidden="1">'Line Items'!$A$1:$L$4</definedName>
    <definedName name="_xlnm._FilterDatabase" localSheetId="2" hidden="1">'Control Tests'!$A$1:$G$4</definedName>
    <definedName name="_xlnm._FilterDatabase" localSheetId="3" hidden="1">'Data Dictionary'!$A$1:$B$5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A61B1B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1" customWidth="1" min="4" max="4"/>
    <col width="17" customWidth="1" min="5" max="5"/>
    <col width="13" customWidth="1" min="6" max="6"/>
    <col width="11" customWidth="1" min="7" max="7"/>
    <col width="11" customWidth="1" min="8" max="8"/>
    <col width="17" customWidth="1" min="9" max="9"/>
  </cols>
  <sheetData>
    <row r="1" ht="34" customHeight="1">
      <c r="A1" s="1" t="inlineStr">
        <is>
          <t>event_id</t>
        </is>
      </c>
      <c r="B1" s="1" t="inlineStr">
        <is>
          <t>timestamp_utc</t>
        </is>
      </c>
      <c r="C1" s="1" t="inlineStr">
        <is>
          <t>transaction_id</t>
        </is>
      </c>
      <c r="D1" s="1" t="inlineStr">
        <is>
          <t>lane</t>
        </is>
      </c>
      <c r="E1" s="1" t="inlineStr">
        <is>
          <t>event_type</t>
        </is>
      </c>
      <c r="F1" s="1" t="inlineStr">
        <is>
          <t>sku</t>
        </is>
      </c>
      <c r="G1" s="1" t="inlineStr">
        <is>
          <t>value</t>
        </is>
      </c>
      <c r="H1" s="1" t="inlineStr">
        <is>
          <t>operator</t>
        </is>
      </c>
      <c r="I1" s="1" t="inlineStr">
        <is>
          <t>evidence_status</t>
        </is>
      </c>
    </row>
    <row r="2">
      <c r="A2" s="2" t="n">
        <v>1</v>
      </c>
      <c r="B2" s="2" t="inlineStr">
        <is>
          <t>2026-08-14T16:42:00Z</t>
        </is>
      </c>
      <c r="C2" s="2" t="inlineStr">
        <is>
          <t>TX-CA-000184</t>
        </is>
      </c>
      <c r="D2" s="2" t="inlineStr">
        <is>
          <t>SCO-07</t>
        </is>
      </c>
      <c r="E2" s="2" t="inlineStr">
        <is>
          <t>basket_open</t>
        </is>
      </c>
      <c r="F2" s="2" t="inlineStr"/>
      <c r="G2" s="2" t="inlineStr"/>
      <c r="H2" s="2" t="inlineStr">
        <is>
          <t>shopper</t>
        </is>
      </c>
      <c r="I2" s="2" t="inlineStr">
        <is>
          <t>preserved</t>
        </is>
      </c>
    </row>
    <row r="3">
      <c r="A3" s="2" t="n">
        <v>2</v>
      </c>
      <c r="B3" s="2" t="inlineStr">
        <is>
          <t>2026-08-14T16:42:00Z</t>
        </is>
      </c>
      <c r="C3" s="2" t="inlineStr">
        <is>
          <t>TX-CA-000184</t>
        </is>
      </c>
      <c r="D3" s="2" t="inlineStr">
        <is>
          <t>SCO-07</t>
        </is>
      </c>
      <c r="E3" s="2" t="inlineStr">
        <is>
          <t>scan</t>
        </is>
      </c>
      <c r="F3" s="2" t="inlineStr">
        <is>
          <t>04120-88214</t>
        </is>
      </c>
      <c r="G3" s="2" t="n">
        <v>5.49</v>
      </c>
      <c r="H3" s="2" t="inlineStr">
        <is>
          <t>shopper</t>
        </is>
      </c>
      <c r="I3" s="2" t="inlineStr">
        <is>
          <t>preserved</t>
        </is>
      </c>
    </row>
    <row r="4">
      <c r="A4" s="2" t="n">
        <v>3</v>
      </c>
      <c r="B4" s="2" t="inlineStr">
        <is>
          <t>2026-08-14T16:42:00Z</t>
        </is>
      </c>
      <c r="C4" s="2" t="inlineStr">
        <is>
          <t>TX-CA-000184</t>
        </is>
      </c>
      <c r="D4" s="2" t="inlineStr">
        <is>
          <t>SCO-07</t>
        </is>
      </c>
      <c r="E4" s="2" t="inlineStr">
        <is>
          <t>scan_retry</t>
        </is>
      </c>
      <c r="F4" s="2" t="inlineStr">
        <is>
          <t>04120-88214</t>
        </is>
      </c>
      <c r="G4" s="2" t="n">
        <v>5.49</v>
      </c>
      <c r="H4" s="2" t="inlineStr">
        <is>
          <t>shopper</t>
        </is>
      </c>
      <c r="I4" s="2" t="inlineStr">
        <is>
          <t>preserved</t>
        </is>
      </c>
    </row>
    <row r="5">
      <c r="A5" s="2" t="n">
        <v>4</v>
      </c>
      <c r="B5" s="2" t="inlineStr">
        <is>
          <t>2026-08-14T16:42:00Z</t>
        </is>
      </c>
      <c r="C5" s="2" t="inlineStr">
        <is>
          <t>TX-CA-000184</t>
        </is>
      </c>
      <c r="D5" s="2" t="inlineStr">
        <is>
          <t>SCO-07</t>
        </is>
      </c>
      <c r="E5" s="2" t="inlineStr">
        <is>
          <t>catalog_price</t>
        </is>
      </c>
      <c r="F5" s="2" t="inlineStr">
        <is>
          <t>00854-10219</t>
        </is>
      </c>
      <c r="G5" s="2" t="n">
        <v>5.39</v>
      </c>
      <c r="H5" s="2" t="inlineStr">
        <is>
          <t>system</t>
        </is>
      </c>
      <c r="I5" s="2" t="inlineStr">
        <is>
          <t>preserved</t>
        </is>
      </c>
    </row>
    <row r="6">
      <c r="A6" s="2" t="n">
        <v>5</v>
      </c>
      <c r="B6" s="2" t="inlineStr">
        <is>
          <t>2026-08-14T16:42:00Z</t>
        </is>
      </c>
      <c r="C6" s="2" t="inlineStr">
        <is>
          <t>TX-CA-000184</t>
        </is>
      </c>
      <c r="D6" s="2" t="inlineStr">
        <is>
          <t>SCO-07</t>
        </is>
      </c>
      <c r="E6" s="2" t="inlineStr">
        <is>
          <t>shelf_snapshot</t>
        </is>
      </c>
      <c r="F6" s="2" t="inlineStr">
        <is>
          <t>00854-10219</t>
        </is>
      </c>
      <c r="G6" s="2" t="n">
        <v>4.99</v>
      </c>
      <c r="H6" s="2" t="inlineStr">
        <is>
          <t>associate</t>
        </is>
      </c>
      <c r="I6" s="2" t="inlineStr">
        <is>
          <t>preserved</t>
        </is>
      </c>
    </row>
    <row r="7">
      <c r="A7" s="2" t="n">
        <v>6</v>
      </c>
      <c r="B7" s="2" t="inlineStr">
        <is>
          <t>2026-08-14T16:42:00Z</t>
        </is>
      </c>
      <c r="C7" s="2" t="inlineStr">
        <is>
          <t>TX-CA-000184</t>
        </is>
      </c>
      <c r="D7" s="2" t="inlineStr">
        <is>
          <t>SCO-07</t>
        </is>
      </c>
      <c r="E7" s="2" t="inlineStr">
        <is>
          <t>scale_weight</t>
        </is>
      </c>
      <c r="F7" s="2" t="inlineStr">
        <is>
          <t>02941-55003</t>
        </is>
      </c>
      <c r="G7" s="2" t="n">
        <v>3.18</v>
      </c>
      <c r="H7" s="2" t="inlineStr">
        <is>
          <t>system</t>
        </is>
      </c>
      <c r="I7" s="2" t="inlineStr">
        <is>
          <t>preserved</t>
        </is>
      </c>
    </row>
    <row r="8">
      <c r="A8" s="2" t="n">
        <v>7</v>
      </c>
      <c r="B8" s="2" t="inlineStr">
        <is>
          <t>2026-08-14T16:42:00Z</t>
        </is>
      </c>
      <c r="C8" s="2" t="inlineStr">
        <is>
          <t>TX-CA-000184</t>
        </is>
      </c>
      <c r="D8" s="2" t="inlineStr">
        <is>
          <t>SCO-07</t>
        </is>
      </c>
      <c r="E8" s="2" t="inlineStr">
        <is>
          <t>tender_complete</t>
        </is>
      </c>
      <c r="F8" s="2" t="inlineStr"/>
      <c r="G8" s="2" t="inlineStr"/>
      <c r="H8" s="2" t="inlineStr">
        <is>
          <t>shopper</t>
        </is>
      </c>
      <c r="I8" s="2" t="inlineStr">
        <is>
          <t>preserved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3" customWidth="1" min="4" max="4"/>
    <col width="11" customWidth="1" min="5" max="5"/>
    <col width="22" customWidth="1" min="6" max="6"/>
    <col width="20" customWidth="1" min="7" max="7"/>
    <col width="17" customWidth="1" min="8" max="8"/>
    <col width="19" customWidth="1" min="9" max="9"/>
    <col width="16" customWidth="1" min="10" max="10"/>
    <col width="48" customWidth="1" min="11" max="11"/>
    <col width="25" customWidth="1" min="12" max="12"/>
  </cols>
  <sheetData>
    <row r="1" ht="34" customHeight="1">
      <c r="A1" s="1" t="inlineStr">
        <is>
          <t>line_id</t>
        </is>
      </c>
      <c r="B1" s="1" t="inlineStr">
        <is>
          <t>transaction_id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displayed_unit_price</t>
        </is>
      </c>
      <c r="G1" s="1" t="inlineStr">
        <is>
          <t>charged_unit_price</t>
        </is>
      </c>
      <c r="H1" s="1" t="inlineStr">
        <is>
          <t>label_weight_lb</t>
        </is>
      </c>
      <c r="I1" s="1" t="inlineStr">
        <is>
          <t>charged_weight_lb</t>
        </is>
      </c>
      <c r="J1" s="1" t="inlineStr">
        <is>
          <t>extended_price</t>
        </is>
      </c>
      <c r="K1" s="1" t="inlineStr">
        <is>
          <t>computed_overcharge</t>
        </is>
      </c>
      <c r="L1" s="1" t="inlineStr">
        <is>
          <t>anomaly_type</t>
        </is>
      </c>
    </row>
    <row r="2">
      <c r="A2" s="2" t="n">
        <v>1</v>
      </c>
      <c r="B2" s="2" t="inlineStr">
        <is>
          <t>TX-CA-000184</t>
        </is>
      </c>
      <c r="C2" s="2" t="inlineStr">
        <is>
          <t>04120-88214</t>
        </is>
      </c>
      <c r="D2" s="2" t="inlineStr">
        <is>
          <t>Organic oranges bag</t>
        </is>
      </c>
      <c r="E2" s="2" t="n">
        <v>2</v>
      </c>
      <c r="F2" s="3" t="n">
        <v>5.49</v>
      </c>
      <c r="G2" s="3" t="n">
        <v>5.49</v>
      </c>
      <c r="H2" s="2" t="n">
        <v>3</v>
      </c>
      <c r="I2" s="2" t="n">
        <v>3</v>
      </c>
      <c r="J2" s="3" t="n">
        <v>10.98</v>
      </c>
      <c r="K2" s="3">
        <f>ROUND(MAX(0,(G2-F2)*E2)+IF(L2="duplicate_scan",F2,0)+IF(L2="weight_variance",MAX(0,(I2-H2)*G2),0),2)</f>
        <v/>
      </c>
      <c r="L2" s="2" t="inlineStr">
        <is>
          <t>duplicate_scan</t>
        </is>
      </c>
    </row>
    <row r="3">
      <c r="A3" s="2" t="n">
        <v>2</v>
      </c>
      <c r="B3" s="2" t="inlineStr">
        <is>
          <t>TX-CA-000184</t>
        </is>
      </c>
      <c r="C3" s="2" t="inlineStr">
        <is>
          <t>00854-10219</t>
        </is>
      </c>
      <c r="D3" s="2" t="inlineStr">
        <is>
          <t>Sparkling water</t>
        </is>
      </c>
      <c r="E3" s="2" t="n">
        <v>1</v>
      </c>
      <c r="F3" s="3" t="n">
        <v>4.99</v>
      </c>
      <c r="G3" s="3" t="n">
        <v>5.39</v>
      </c>
      <c r="H3" s="2" t="n"/>
      <c r="I3" s="2" t="n"/>
      <c r="J3" s="3" t="n">
        <v>5.39</v>
      </c>
      <c r="K3" s="3">
        <f>ROUND(MAX(0,(G3-F3)*E3)+IF(L3="duplicate_scan",F3,0)+IF(L3="weight_variance",MAX(0,(I3-H3)*G3),0),2)</f>
        <v/>
      </c>
      <c r="L3" s="2" t="inlineStr">
        <is>
          <t>shelf_register_mismatch</t>
        </is>
      </c>
    </row>
    <row r="4">
      <c r="A4" s="2" t="n">
        <v>3</v>
      </c>
      <c r="B4" s="2" t="inlineStr">
        <is>
          <t>TX-CA-000184</t>
        </is>
      </c>
      <c r="C4" s="2" t="inlineStr">
        <is>
          <t>02941-55003</t>
        </is>
      </c>
      <c r="D4" s="2" t="inlineStr">
        <is>
          <t>Random-weight produce</t>
        </is>
      </c>
      <c r="E4" s="2" t="n">
        <v>1</v>
      </c>
      <c r="F4" s="3" t="n">
        <v>2.99</v>
      </c>
      <c r="G4" s="3" t="n">
        <v>2.99</v>
      </c>
      <c r="H4" s="2" t="n">
        <v>3</v>
      </c>
      <c r="I4" s="2" t="n">
        <v>3.18</v>
      </c>
      <c r="J4" s="3" t="n">
        <v>9.51</v>
      </c>
      <c r="K4" s="3">
        <f>ROUND(MAX(0,(G4-F4)*E4)+IF(L4="duplicate_scan",F4,0)+IF(L4="weight_variance",MAX(0,(I4-H4)*G4),0),2)</f>
        <v/>
      </c>
      <c r="L4" s="2" t="inlineStr">
        <is>
          <t>weight_variance</t>
        </is>
      </c>
    </row>
  </sheetData>
  <autoFilter ref="A1:L4"/>
  <conditionalFormatting sqref="K2:K4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34" customWidth="1" min="3" max="3"/>
    <col width="30" customWidth="1" min="4" max="4"/>
    <col width="11" customWidth="1" min="5" max="5"/>
    <col width="20" customWidth="1" min="6" max="6"/>
    <col width="45" customWidth="1" min="7" max="7"/>
  </cols>
  <sheetData>
    <row r="1" ht="34" customHeight="1">
      <c r="A1" s="1" t="inlineStr">
        <is>
          <t>control_code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observed</t>
        </is>
      </c>
      <c r="E1" s="1" t="inlineStr">
        <is>
          <t>result</t>
        </is>
      </c>
      <c r="F1" s="1" t="inlineStr">
        <is>
          <t>owner</t>
        </is>
      </c>
      <c r="G1" s="1" t="inlineStr">
        <is>
          <t>required_action</t>
        </is>
      </c>
    </row>
    <row r="2">
      <c r="A2" s="2" t="inlineStr">
        <is>
          <t>SCO-DUP-01</t>
        </is>
      </c>
      <c r="B2" s="2" t="inlineStr">
        <is>
          <t>Rapid same-SKU scan challenge</t>
        </is>
      </c>
      <c r="C2" s="2" t="inlineStr">
        <is>
          <t>confirmation or associate review</t>
        </is>
      </c>
      <c r="D2" s="2" t="inlineStr">
        <is>
          <t>no challenge</t>
        </is>
      </c>
      <c r="E2" s="4" t="inlineStr">
        <is>
          <t>FAIL</t>
        </is>
      </c>
      <c r="F2" s="2" t="inlineStr">
        <is>
          <t>POS Engineering</t>
        </is>
      </c>
      <c r="G2" s="2" t="inlineStr">
        <is>
          <t>enable and regression-test debounce control</t>
        </is>
      </c>
    </row>
    <row r="3">
      <c r="A3" s="2" t="inlineStr">
        <is>
          <t>PRICE-SYNC-02</t>
        </is>
      </c>
      <c r="B3" s="2" t="inlineStr">
        <is>
          <t>Shelf/register price comparison</t>
        </is>
      </c>
      <c r="C3" s="2" t="inlineStr">
        <is>
          <t>honor lower supported price</t>
        </is>
      </c>
      <c r="D3" s="2" t="inlineStr">
        <is>
          <t>stale catalog value charged</t>
        </is>
      </c>
      <c r="E3" s="4" t="inlineStr">
        <is>
          <t>FAIL</t>
        </is>
      </c>
      <c r="F3" s="2" t="inlineStr">
        <is>
          <t>Pricing Operations</t>
        </is>
      </c>
      <c r="G3" s="2" t="inlineStr">
        <is>
          <t>quarantine SKU and reconcile feed</t>
        </is>
      </c>
    </row>
    <row r="4">
      <c r="A4" s="2" t="inlineStr">
        <is>
          <t>WEIGHT-03</t>
        </is>
      </c>
      <c r="B4" s="2" t="inlineStr">
        <is>
          <t>Label/charged weight comparison</t>
        </is>
      </c>
      <c r="C4" s="2" t="inlineStr">
        <is>
          <t>within validated tolerance</t>
        </is>
      </c>
      <c r="D4" s="2" t="inlineStr">
        <is>
          <t>charged weight exceeds label</t>
        </is>
      </c>
      <c r="E4" s="4" t="inlineStr">
        <is>
          <t>FAIL</t>
        </is>
      </c>
      <c r="F4" s="2" t="inlineStr">
        <is>
          <t>Quality</t>
        </is>
      </c>
      <c r="G4" s="2" t="inlineStr">
        <is>
          <t>hold sale and verify scale, tare, and label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computed_overcharge</t>
        </is>
      </c>
      <c r="B2" s="2" t="inlineStr">
        <is>
          <t>Synthetic issue-spotting calculation; validate refund amount and remedy under applicable law.</t>
        </is>
      </c>
    </row>
    <row r="3">
      <c r="A3" s="2" t="inlineStr">
        <is>
          <t>evidence_status</t>
        </is>
      </c>
      <c r="B3" s="2" t="inlineStr">
        <is>
          <t>Whether an immutable export and chain-of-custody record exist.</t>
        </is>
      </c>
    </row>
    <row r="4">
      <c r="A4" s="2" t="inlineStr">
        <is>
          <t>anomaly_type</t>
        </is>
      </c>
      <c r="B4" s="2" t="inlineStr">
        <is>
          <t>duplicate_scan, shelf_register_mismatch, or weight_variance.</t>
        </is>
      </c>
    </row>
    <row r="5">
      <c r="A5" s="2" t="inlineStr">
        <is>
          <t>SIMULATION</t>
        </is>
      </c>
      <c r="B5" s="2" t="inlineStr">
        <is>
          <t>All parties, stores, transactions, and evidence in this workbook are synthetic.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